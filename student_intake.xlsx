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qua\Downloads\"/>
    </mc:Choice>
  </mc:AlternateContent>
  <xr:revisionPtr revIDLastSave="0" documentId="13_ncr:1_{70D03A02-DDD9-489A-B327-A45C3EF56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iếu Học Si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XKE1GSyG9u2kXdJLVxpjY2Ky4eCf8tna4/4pxkalFY="/>
    </ext>
  </extLst>
</workbook>
</file>

<file path=xl/calcChain.xml><?xml version="1.0" encoding="utf-8"?>
<calcChain xmlns="http://schemas.openxmlformats.org/spreadsheetml/2006/main">
  <c r="C110" i="1" l="1"/>
  <c r="C109" i="1"/>
  <c r="C108" i="1"/>
  <c r="C107" i="1"/>
  <c r="C106" i="1"/>
  <c r="C105" i="1"/>
</calcChain>
</file>

<file path=xl/sharedStrings.xml><?xml version="1.0" encoding="utf-8"?>
<sst xmlns="http://schemas.openxmlformats.org/spreadsheetml/2006/main" count="110" uniqueCount="110">
  <si>
    <t>HỆ THỐNG CHẨN ĐOÁN HỌC SINH — PHIẾU TỔNG HỢP ĐA HỌC SINH</t>
  </si>
  <si>
    <t>🟡 Ô vàng = nhập liệu    ⬜ Ô xám = tự tính (công thức)    📊 Tâm lý &amp; Học tập: thang 1-10  (10 = tệ / ảnh hưởng nhiều nhất)</t>
  </si>
  <si>
    <t>DANH MỤC CHỈ SỐ</t>
  </si>
  <si>
    <t>Học Sinh 1</t>
  </si>
  <si>
    <t>▶  THÔNG TIN CƠ BẢN</t>
  </si>
  <si>
    <t>Họ và tên (student_name)</t>
  </si>
  <si>
    <t>Kỳ thi (SAT / IELTS)</t>
  </si>
  <si>
    <t>Điểm mock (mock_score)
SAT: 400-1600 | IELTS: 0-9</t>
  </si>
  <si>
    <t>Inferences — Đúng</t>
  </si>
  <si>
    <t>Command of Evidence — Đúng</t>
  </si>
  <si>
    <t>Words in Context — Đúng</t>
  </si>
  <si>
    <t>Rhetorical Synthesis — Đúng</t>
  </si>
  <si>
    <t>Text Structure &amp; Purpose — Đúng</t>
  </si>
  <si>
    <t>Central Ideas &amp; Details — Đúng</t>
  </si>
  <si>
    <t>Transitions — Đúng</t>
  </si>
  <si>
    <t>Boundaries — Đúng</t>
  </si>
  <si>
    <t>Nonlinear Functions — Đúng</t>
  </si>
  <si>
    <t>Nonlinear Equations — Đúng</t>
  </si>
  <si>
    <t>Probability — Đúng</t>
  </si>
  <si>
    <t>Right Triangles &amp; Trig — Đúng</t>
  </si>
  <si>
    <t>Linear Equations (1 var) — Đúng</t>
  </si>
  <si>
    <t>Linear Functions — Đúng</t>
  </si>
  <si>
    <t>Area &amp; Volume — Đúng</t>
  </si>
  <si>
    <t>Listening P1 Fill blanks — Đúng</t>
  </si>
  <si>
    <t>Listening P2 Map/MCQ — Đúng</t>
  </si>
  <si>
    <t>Listening P3 Matching — Đúng</t>
  </si>
  <si>
    <t>Listening P4 Note — Đúng</t>
  </si>
  <si>
    <t>True/False/Not Given — Đúng</t>
  </si>
  <si>
    <t>Matching Headings — Đúng</t>
  </si>
  <si>
    <t>Sentence Completion — Đúng</t>
  </si>
  <si>
    <t>Summary Completion — Đúng</t>
  </si>
  <si>
    <t>Multiple Choice — Đúng</t>
  </si>
  <si>
    <t>Writing Task 1 — Đúng</t>
  </si>
  <si>
    <t>Writing Task 2 — Đúng</t>
  </si>
  <si>
    <t>Speaking Part 1 — Đúng</t>
  </si>
  <si>
    <t>Speaking Part 2 — Đúng</t>
  </si>
  <si>
    <t>Speaking Part 3 — Đúng</t>
  </si>
  <si>
    <t>▶  TÂM LÝ THI CỬ — Học Sinh Tự Đánh Giá  (1-10, 10=tệ nhất)</t>
  </si>
  <si>
    <t>Căng thẳng trước kỳ thi</t>
  </si>
  <si>
    <t>Chất lượng giấc ngủ</t>
  </si>
  <si>
    <t xml:space="preserve">Kỳ vọng bản thân </t>
  </si>
  <si>
    <t xml:space="preserve">Áp lực từ gia đình </t>
  </si>
  <si>
    <t>Thiếu động lực</t>
  </si>
  <si>
    <t xml:space="preserve">Lo lắng khi làm bài </t>
  </si>
  <si>
    <t>Cảm giác thiếu thời gian (time_pressure_feeling)</t>
  </si>
  <si>
    <t xml:space="preserve">Hay đứng hình khi gặp câu khó </t>
  </si>
  <si>
    <t>Dễ bị xao nhãng</t>
  </si>
  <si>
    <t>Tiếng ồn phòng thi</t>
  </si>
  <si>
    <t>Nhiệt độ không thoải mái</t>
  </si>
  <si>
    <t>Áp lực từ giám thị</t>
  </si>
  <si>
    <t>Không có đồng hồ phòng thi</t>
  </si>
  <si>
    <t>▶  PHONG CÁCH &amp; THÓI QUEN HỌC — Học Sinh Tự Đánh Giá  (1-10, 10=thường xuyên)</t>
  </si>
  <si>
    <t>Học vẹt</t>
  </si>
  <si>
    <t xml:space="preserve">Học dồn trước thi </t>
  </si>
  <si>
    <t>Không luyện đề</t>
  </si>
  <si>
    <t>Ghi chép lộn xộn</t>
  </si>
  <si>
    <t>Không ôn lại kiến thức cũ</t>
  </si>
  <si>
    <t>Không hiểu bài khi học</t>
  </si>
  <si>
    <t>Chưa chuẩn bị đủ</t>
  </si>
  <si>
    <t>Yếu kỹ năng làm bài thi</t>
  </si>
  <si>
    <t>Số giờ học / ngày  (giờ)</t>
  </si>
  <si>
    <t>Học thất thường</t>
  </si>
  <si>
    <t>▶  QUAN SÁT GIÁO VIÊN — GV/Mentor Điền  (1-10)</t>
  </si>
  <si>
    <t>Mức độ tham gia bài học</t>
  </si>
  <si>
    <t>Hay đặt câu hỏi</t>
  </si>
  <si>
    <t>Hoàn thành bài tập về nhà</t>
  </si>
  <si>
    <t>Tập trung trên lớp</t>
  </si>
  <si>
    <t>Nội dung dạy sát đề</t>
  </si>
  <si>
    <t>Tốc độ học phù hợp HS</t>
  </si>
  <si>
    <t>Nhận xét tổng thể GV</t>
  </si>
  <si>
    <t>Tổng câu đúng SAT</t>
  </si>
  <si>
    <t>Độ chính xác tổng SAT (%)</t>
  </si>
  <si>
    <t>Tổng câu đúng IELTS</t>
  </si>
  <si>
    <t>Độ chính xác tổng IELTS (%)</t>
  </si>
  <si>
    <t>Điểm tâm lý TB (Psych avg)</t>
  </si>
  <si>
    <t>Điểm học tập TB (Learning avg)</t>
  </si>
  <si>
    <t>Ngày cập nhật / Kỳ đánh giá</t>
  </si>
  <si>
    <t>Multiple Choice — Tổng số câu</t>
  </si>
  <si>
    <t>Inferences — Tổng số câu</t>
  </si>
  <si>
    <t>Command of Evidence — Tổng số câu</t>
  </si>
  <si>
    <t>Words in Context — Tổng số câu</t>
  </si>
  <si>
    <t>Rhetorical Synthesis — Tổng số câu</t>
  </si>
  <si>
    <t>Text Structure &amp; Purpose — Tổng số câu</t>
  </si>
  <si>
    <t>Central Ideas &amp; Details — Tổng số câu</t>
  </si>
  <si>
    <t>▶  KẾT QUẢ BÀI THI — SAT  (Câu Đúng / Tổng số câu theo dạng bài)</t>
  </si>
  <si>
    <t>Transitions — Tổng số câu</t>
  </si>
  <si>
    <t>Boundaries — Tổng số câu</t>
  </si>
  <si>
    <t>Nonlinear Functions — Tổng số câu</t>
  </si>
  <si>
    <t>Nonlinear Equations — Tổng số câu</t>
  </si>
  <si>
    <t>Probability — Tổng số câu</t>
  </si>
  <si>
    <t>Right Triangles &amp; Trig — Tổng số câu</t>
  </si>
  <si>
    <t>Linear Equations (1 var) — Tổng số câu</t>
  </si>
  <si>
    <t>Linear Functions — Tổng số câu</t>
  </si>
  <si>
    <t>Area &amp; Volume — Tổng số câu</t>
  </si>
  <si>
    <t>▶  KẾT QUẢ BÀI THI — IELTS  (Câu Đúng / Tổng số câu theo dạng bài)</t>
  </si>
  <si>
    <t>Listening P1 Fill blanks — Tổng số câu</t>
  </si>
  <si>
    <t>Listening P2 Map/MCQ — Tổng số câu</t>
  </si>
  <si>
    <t>Listening P3 Matching — Tổng số câu</t>
  </si>
  <si>
    <t>Listening P4 Note — Tổng số câu</t>
  </si>
  <si>
    <t>True/False/Not Given — Tổng số câu</t>
  </si>
  <si>
    <t>Matching Headings — Tổng số câu</t>
  </si>
  <si>
    <t>Sentence Completion — Tổng số câu</t>
  </si>
  <si>
    <t>Summary Completion — Tổng số câu</t>
  </si>
  <si>
    <t>Writing Task 1 — Tổng số câu</t>
  </si>
  <si>
    <t>Writing Task 2 — Tổng số câu</t>
  </si>
  <si>
    <t>Speaking Part 1 — Tổng số câu</t>
  </si>
  <si>
    <t>Speaking Part 2 — Tổng số câu</t>
  </si>
  <si>
    <t>Speaking Part 3 — Tổng số câu</t>
  </si>
  <si>
    <t>Dạng bài hay Tổng số câu</t>
  </si>
  <si>
    <t>▶ 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</si>
</sst>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&quot;%&quot;"/>
    <numFmt numFmtId="166" formatCode="dd/mm/yyyy"/>
  </numFmts>
  <fonts count="9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11"/>
      <color theme="1"/>
      <name val="Calibri"/>
    </font>
    <font>
      <b/>
      <sz val="9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618D"/>
        <bgColor rgb="FF1F618D"/>
      </patternFill>
    </fill>
    <fill>
      <patternFill patternType="solid">
        <fgColor rgb="FF145A32"/>
        <bgColor rgb="FF145A32"/>
      </patternFill>
    </fill>
    <fill>
      <patternFill patternType="solid">
        <fgColor rgb="FF7B241C"/>
        <bgColor rgb="FF7B241C"/>
      </patternFill>
    </fill>
    <fill>
      <patternFill patternType="solid">
        <fgColor rgb="FF4A235A"/>
        <bgColor rgb="FF4A235A"/>
      </patternFill>
    </fill>
    <fill>
      <patternFill patternType="solid">
        <fgColor rgb="FF1A5276"/>
        <bgColor rgb="FF1A527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444444"/>
      </top>
      <bottom style="medium">
        <color rgb="FF444444"/>
      </bottom>
      <diagonal/>
    </border>
    <border>
      <left style="medium">
        <color rgb="FF444444"/>
      </left>
      <right style="thin">
        <color rgb="FFAAAAAA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center" vertical="center" wrapText="1"/>
    </xf>
    <xf numFmtId="164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top" wrapText="1"/>
    </xf>
    <xf numFmtId="1" fontId="7" fillId="4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165" fontId="7" fillId="4" borderId="5" xfId="0" applyNumberFormat="1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166" fontId="7" fillId="5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8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26" sqref="E26"/>
    </sheetView>
  </sheetViews>
  <sheetFormatPr defaultColWidth="14.44140625" defaultRowHeight="15" customHeight="1"/>
  <cols>
    <col min="1" max="1" width="3" customWidth="1"/>
    <col min="2" max="2" width="38" customWidth="1"/>
    <col min="3" max="3" width="66.44140625" customWidth="1"/>
  </cols>
  <sheetData>
    <row r="1" spans="2:3" ht="37.5" customHeight="1">
      <c r="B1" s="14" t="s">
        <v>0</v>
      </c>
      <c r="C1" s="15"/>
    </row>
    <row r="2" spans="2:3" ht="18" customHeight="1">
      <c r="B2" s="16" t="s">
        <v>1</v>
      </c>
      <c r="C2" s="17"/>
    </row>
    <row r="3" spans="2:3" ht="6" customHeight="1"/>
    <row r="4" spans="2:3" ht="24" customHeight="1">
      <c r="B4" s="1" t="s">
        <v>2</v>
      </c>
      <c r="C4" s="2" t="s">
        <v>3</v>
      </c>
    </row>
    <row r="5" spans="2:3" ht="3.75" customHeight="1"/>
    <row r="6" spans="2:3" ht="19.5" customHeight="1">
      <c r="B6" s="18" t="s">
        <v>4</v>
      </c>
      <c r="C6" s="15"/>
    </row>
    <row r="7" spans="2:3" ht="19.5" customHeight="1">
      <c r="B7" s="3" t="s">
        <v>5</v>
      </c>
      <c r="C7" s="4"/>
    </row>
    <row r="8" spans="2:3" ht="19.5" customHeight="1">
      <c r="B8" s="3" t="s">
        <v>6</v>
      </c>
      <c r="C8" s="5"/>
    </row>
    <row r="9" spans="2:3" ht="27.75" customHeight="1">
      <c r="B9" s="3" t="s">
        <v>7</v>
      </c>
      <c r="C9" s="6"/>
    </row>
    <row r="10" spans="2:3" ht="19.5" customHeight="1">
      <c r="B10" s="19" t="s">
        <v>84</v>
      </c>
      <c r="C10" s="15"/>
    </row>
    <row r="11" spans="2:3" ht="19.5" customHeight="1">
      <c r="B11" s="3" t="s">
        <v>8</v>
      </c>
      <c r="C11" s="7"/>
    </row>
    <row r="12" spans="2:3" ht="19.5" customHeight="1">
      <c r="B12" s="3" t="s">
        <v>78</v>
      </c>
      <c r="C12" s="7"/>
    </row>
    <row r="13" spans="2:3" ht="19.5" customHeight="1">
      <c r="B13" s="3" t="s">
        <v>9</v>
      </c>
      <c r="C13" s="7"/>
    </row>
    <row r="14" spans="2:3" ht="19.5" customHeight="1">
      <c r="B14" s="3" t="s">
        <v>79</v>
      </c>
      <c r="C14" s="7"/>
    </row>
    <row r="15" spans="2:3" ht="19.5" customHeight="1">
      <c r="B15" s="3" t="s">
        <v>10</v>
      </c>
      <c r="C15" s="7"/>
    </row>
    <row r="16" spans="2:3" ht="19.5" customHeight="1">
      <c r="B16" s="3" t="s">
        <v>80</v>
      </c>
      <c r="C16" s="7"/>
    </row>
    <row r="17" spans="2:3" ht="19.5" customHeight="1">
      <c r="B17" s="3" t="s">
        <v>11</v>
      </c>
      <c r="C17" s="7"/>
    </row>
    <row r="18" spans="2:3" ht="19.5" customHeight="1">
      <c r="B18" s="3" t="s">
        <v>81</v>
      </c>
      <c r="C18" s="7"/>
    </row>
    <row r="19" spans="2:3" ht="19.5" customHeight="1">
      <c r="B19" s="3" t="s">
        <v>12</v>
      </c>
      <c r="C19" s="7"/>
    </row>
    <row r="20" spans="2:3" ht="19.5" customHeight="1">
      <c r="B20" s="3" t="s">
        <v>82</v>
      </c>
      <c r="C20" s="7"/>
    </row>
    <row r="21" spans="2:3" ht="19.5" customHeight="1">
      <c r="B21" s="3" t="s">
        <v>13</v>
      </c>
      <c r="C21" s="7"/>
    </row>
    <row r="22" spans="2:3" ht="19.5" customHeight="1">
      <c r="B22" s="3" t="s">
        <v>83</v>
      </c>
      <c r="C22" s="7"/>
    </row>
    <row r="23" spans="2:3" ht="19.5" customHeight="1">
      <c r="B23" s="3" t="s">
        <v>14</v>
      </c>
      <c r="C23" s="7"/>
    </row>
    <row r="24" spans="2:3" ht="19.5" customHeight="1">
      <c r="B24" s="3" t="s">
        <v>85</v>
      </c>
      <c r="C24" s="7"/>
    </row>
    <row r="25" spans="2:3" ht="19.5" customHeight="1">
      <c r="B25" s="3" t="s">
        <v>15</v>
      </c>
      <c r="C25" s="7"/>
    </row>
    <row r="26" spans="2:3" ht="19.5" customHeight="1">
      <c r="B26" s="3" t="s">
        <v>86</v>
      </c>
      <c r="C26" s="7"/>
    </row>
    <row r="27" spans="2:3" ht="19.5" customHeight="1">
      <c r="B27" s="3" t="s">
        <v>16</v>
      </c>
      <c r="C27" s="7"/>
    </row>
    <row r="28" spans="2:3" ht="19.5" customHeight="1">
      <c r="B28" s="3" t="s">
        <v>87</v>
      </c>
      <c r="C28" s="7"/>
    </row>
    <row r="29" spans="2:3" ht="19.5" customHeight="1">
      <c r="B29" s="3" t="s">
        <v>17</v>
      </c>
      <c r="C29" s="7"/>
    </row>
    <row r="30" spans="2:3" ht="19.5" customHeight="1">
      <c r="B30" s="3" t="s">
        <v>88</v>
      </c>
      <c r="C30" s="7"/>
    </row>
    <row r="31" spans="2:3" ht="19.5" customHeight="1">
      <c r="B31" s="3" t="s">
        <v>18</v>
      </c>
      <c r="C31" s="7"/>
    </row>
    <row r="32" spans="2:3" ht="19.5" customHeight="1">
      <c r="B32" s="3" t="s">
        <v>89</v>
      </c>
      <c r="C32" s="7"/>
    </row>
    <row r="33" spans="2:3" ht="19.5" customHeight="1">
      <c r="B33" s="3" t="s">
        <v>19</v>
      </c>
      <c r="C33" s="7"/>
    </row>
    <row r="34" spans="2:3" ht="19.5" customHeight="1">
      <c r="B34" s="3" t="s">
        <v>90</v>
      </c>
      <c r="C34" s="7"/>
    </row>
    <row r="35" spans="2:3" ht="19.5" customHeight="1">
      <c r="B35" s="3" t="s">
        <v>20</v>
      </c>
      <c r="C35" s="7"/>
    </row>
    <row r="36" spans="2:3" ht="19.5" customHeight="1">
      <c r="B36" s="3" t="s">
        <v>91</v>
      </c>
      <c r="C36" s="7"/>
    </row>
    <row r="37" spans="2:3" ht="19.5" customHeight="1">
      <c r="B37" s="3" t="s">
        <v>21</v>
      </c>
      <c r="C37" s="7"/>
    </row>
    <row r="38" spans="2:3" ht="19.5" customHeight="1">
      <c r="B38" s="3" t="s">
        <v>92</v>
      </c>
      <c r="C38" s="7"/>
    </row>
    <row r="39" spans="2:3" ht="19.5" customHeight="1">
      <c r="B39" s="3" t="s">
        <v>22</v>
      </c>
      <c r="C39" s="7"/>
    </row>
    <row r="40" spans="2:3" ht="19.5" customHeight="1">
      <c r="B40" s="3" t="s">
        <v>93</v>
      </c>
      <c r="C40" s="7"/>
    </row>
    <row r="41" spans="2:3" ht="19.5" customHeight="1">
      <c r="B41" s="20" t="s">
        <v>94</v>
      </c>
      <c r="C41" s="15"/>
    </row>
    <row r="42" spans="2:3" ht="19.5" customHeight="1">
      <c r="B42" s="3" t="s">
        <v>23</v>
      </c>
      <c r="C42" s="7"/>
    </row>
    <row r="43" spans="2:3" ht="19.5" customHeight="1">
      <c r="B43" s="3" t="s">
        <v>95</v>
      </c>
      <c r="C43" s="7"/>
    </row>
    <row r="44" spans="2:3" ht="19.5" customHeight="1">
      <c r="B44" s="3" t="s">
        <v>24</v>
      </c>
      <c r="C44" s="7"/>
    </row>
    <row r="45" spans="2:3" ht="19.5" customHeight="1">
      <c r="B45" s="3" t="s">
        <v>96</v>
      </c>
      <c r="C45" s="7"/>
    </row>
    <row r="46" spans="2:3" ht="19.5" customHeight="1">
      <c r="B46" s="3" t="s">
        <v>25</v>
      </c>
      <c r="C46" s="7"/>
    </row>
    <row r="47" spans="2:3" ht="19.5" customHeight="1">
      <c r="B47" s="3" t="s">
        <v>97</v>
      </c>
      <c r="C47" s="7"/>
    </row>
    <row r="48" spans="2:3" ht="19.5" customHeight="1">
      <c r="B48" s="3" t="s">
        <v>26</v>
      </c>
      <c r="C48" s="7"/>
    </row>
    <row r="49" spans="2:3" ht="19.5" customHeight="1">
      <c r="B49" s="3" t="s">
        <v>98</v>
      </c>
      <c r="C49" s="7"/>
    </row>
    <row r="50" spans="2:3" ht="19.5" customHeight="1">
      <c r="B50" s="3" t="s">
        <v>27</v>
      </c>
      <c r="C50" s="7"/>
    </row>
    <row r="51" spans="2:3" ht="19.5" customHeight="1">
      <c r="B51" s="3" t="s">
        <v>99</v>
      </c>
      <c r="C51" s="7"/>
    </row>
    <row r="52" spans="2:3" ht="19.5" customHeight="1">
      <c r="B52" s="3" t="s">
        <v>28</v>
      </c>
      <c r="C52" s="7"/>
    </row>
    <row r="53" spans="2:3" ht="19.5" customHeight="1">
      <c r="B53" s="3" t="s">
        <v>100</v>
      </c>
      <c r="C53" s="7"/>
    </row>
    <row r="54" spans="2:3" ht="19.5" customHeight="1">
      <c r="B54" s="3" t="s">
        <v>29</v>
      </c>
      <c r="C54" s="7"/>
    </row>
    <row r="55" spans="2:3" ht="19.5" customHeight="1">
      <c r="B55" s="3" t="s">
        <v>101</v>
      </c>
      <c r="C55" s="7"/>
    </row>
    <row r="56" spans="2:3" ht="19.5" customHeight="1">
      <c r="B56" s="3" t="s">
        <v>30</v>
      </c>
      <c r="C56" s="7"/>
    </row>
    <row r="57" spans="2:3" ht="19.5" customHeight="1">
      <c r="B57" s="3" t="s">
        <v>102</v>
      </c>
      <c r="C57" s="7"/>
    </row>
    <row r="58" spans="2:3" ht="19.5" customHeight="1">
      <c r="B58" s="3" t="s">
        <v>31</v>
      </c>
      <c r="C58" s="7"/>
    </row>
    <row r="59" spans="2:3" ht="19.5" customHeight="1">
      <c r="B59" s="3" t="s">
        <v>77</v>
      </c>
      <c r="C59" s="7"/>
    </row>
    <row r="60" spans="2:3" ht="19.5" customHeight="1">
      <c r="B60" s="3" t="s">
        <v>32</v>
      </c>
      <c r="C60" s="7"/>
    </row>
    <row r="61" spans="2:3" ht="19.5" customHeight="1">
      <c r="B61" s="3" t="s">
        <v>103</v>
      </c>
      <c r="C61" s="7"/>
    </row>
    <row r="62" spans="2:3" ht="19.5" customHeight="1">
      <c r="B62" s="3" t="s">
        <v>33</v>
      </c>
      <c r="C62" s="7"/>
    </row>
    <row r="63" spans="2:3" ht="19.5" customHeight="1">
      <c r="B63" s="3" t="s">
        <v>104</v>
      </c>
      <c r="C63" s="7"/>
    </row>
    <row r="64" spans="2:3" ht="19.5" customHeight="1">
      <c r="B64" s="3" t="s">
        <v>34</v>
      </c>
      <c r="C64" s="7"/>
    </row>
    <row r="65" spans="2:3" ht="19.5" customHeight="1">
      <c r="B65" s="3" t="s">
        <v>105</v>
      </c>
      <c r="C65" s="7"/>
    </row>
    <row r="66" spans="2:3" ht="19.5" customHeight="1">
      <c r="B66" s="3" t="s">
        <v>35</v>
      </c>
      <c r="C66" s="7"/>
    </row>
    <row r="67" spans="2:3" ht="19.5" customHeight="1">
      <c r="B67" s="3" t="s">
        <v>106</v>
      </c>
      <c r="C67" s="7"/>
    </row>
    <row r="68" spans="2:3" ht="19.5" customHeight="1">
      <c r="B68" s="3" t="s">
        <v>36</v>
      </c>
      <c r="C68" s="7"/>
    </row>
    <row r="69" spans="2:3" ht="19.5" customHeight="1">
      <c r="B69" s="3" t="s">
        <v>107</v>
      </c>
      <c r="C69" s="7"/>
    </row>
    <row r="70" spans="2:3" ht="19.5" customHeight="1">
      <c r="B70" s="21" t="s">
        <v>37</v>
      </c>
      <c r="C70" s="15"/>
    </row>
    <row r="71" spans="2:3" ht="21.75" customHeight="1">
      <c r="B71" s="3" t="s">
        <v>38</v>
      </c>
      <c r="C71" s="6"/>
    </row>
    <row r="72" spans="2:3" ht="21.75" customHeight="1">
      <c r="B72" s="3" t="s">
        <v>39</v>
      </c>
      <c r="C72" s="6"/>
    </row>
    <row r="73" spans="2:3" ht="21.75" customHeight="1">
      <c r="B73" s="3" t="s">
        <v>40</v>
      </c>
      <c r="C73" s="6"/>
    </row>
    <row r="74" spans="2:3" ht="21.75" customHeight="1">
      <c r="B74" s="3" t="s">
        <v>41</v>
      </c>
      <c r="C74" s="6"/>
    </row>
    <row r="75" spans="2:3" ht="21.75" customHeight="1">
      <c r="B75" s="3" t="s">
        <v>42</v>
      </c>
      <c r="C75" s="6"/>
    </row>
    <row r="76" spans="2:3" ht="21.75" customHeight="1">
      <c r="B76" s="3" t="s">
        <v>43</v>
      </c>
      <c r="C76" s="6"/>
    </row>
    <row r="77" spans="2:3" ht="21.75" customHeight="1">
      <c r="B77" s="3" t="s">
        <v>44</v>
      </c>
      <c r="C77" s="6"/>
    </row>
    <row r="78" spans="2:3" ht="21.75" customHeight="1">
      <c r="B78" s="3" t="s">
        <v>45</v>
      </c>
      <c r="C78" s="6"/>
    </row>
    <row r="79" spans="2:3" ht="21.75" customHeight="1">
      <c r="B79" s="3" t="s">
        <v>46</v>
      </c>
      <c r="C79" s="6"/>
    </row>
    <row r="80" spans="2:3" ht="21.75" customHeight="1">
      <c r="B80" s="3" t="s">
        <v>47</v>
      </c>
      <c r="C80" s="6"/>
    </row>
    <row r="81" spans="2:3" ht="21.75" customHeight="1">
      <c r="B81" s="3" t="s">
        <v>48</v>
      </c>
      <c r="C81" s="6"/>
    </row>
    <row r="82" spans="2:3" ht="21.75" customHeight="1">
      <c r="B82" s="3" t="s">
        <v>49</v>
      </c>
      <c r="C82" s="6"/>
    </row>
    <row r="83" spans="2:3" ht="21.75" customHeight="1">
      <c r="B83" s="3" t="s">
        <v>50</v>
      </c>
      <c r="C83" s="6"/>
    </row>
    <row r="84" spans="2:3" ht="19.5" customHeight="1">
      <c r="B84" s="22" t="s">
        <v>51</v>
      </c>
      <c r="C84" s="15"/>
    </row>
    <row r="85" spans="2:3" ht="21.75" customHeight="1">
      <c r="B85" s="3" t="s">
        <v>52</v>
      </c>
      <c r="C85" s="6"/>
    </row>
    <row r="86" spans="2:3" ht="21.75" customHeight="1">
      <c r="B86" s="3" t="s">
        <v>53</v>
      </c>
      <c r="C86" s="6"/>
    </row>
    <row r="87" spans="2:3" ht="21.75" customHeight="1">
      <c r="B87" s="3" t="s">
        <v>54</v>
      </c>
      <c r="C87" s="6"/>
    </row>
    <row r="88" spans="2:3" ht="21.75" customHeight="1">
      <c r="B88" s="3" t="s">
        <v>55</v>
      </c>
      <c r="C88" s="6"/>
    </row>
    <row r="89" spans="2:3" ht="21.75" customHeight="1">
      <c r="B89" s="3" t="s">
        <v>56</v>
      </c>
      <c r="C89" s="6"/>
    </row>
    <row r="90" spans="2:3" ht="21.75" customHeight="1">
      <c r="B90" s="3" t="s">
        <v>57</v>
      </c>
      <c r="C90" s="6"/>
    </row>
    <row r="91" spans="2:3" ht="21.75" customHeight="1">
      <c r="B91" s="3" t="s">
        <v>58</v>
      </c>
      <c r="C91" s="6"/>
    </row>
    <row r="92" spans="2:3" ht="21.75" customHeight="1">
      <c r="B92" s="3" t="s">
        <v>59</v>
      </c>
      <c r="C92" s="6"/>
    </row>
    <row r="93" spans="2:3" ht="21.75" customHeight="1">
      <c r="B93" s="3" t="s">
        <v>60</v>
      </c>
      <c r="C93" s="6"/>
    </row>
    <row r="94" spans="2:3" ht="21.75" customHeight="1">
      <c r="B94" s="3" t="s">
        <v>61</v>
      </c>
      <c r="C94" s="6"/>
    </row>
    <row r="95" spans="2:3" ht="19.5" customHeight="1">
      <c r="B95" s="23" t="s">
        <v>62</v>
      </c>
      <c r="C95" s="15"/>
    </row>
    <row r="96" spans="2:3" ht="21.75" customHeight="1">
      <c r="B96" s="3" t="s">
        <v>63</v>
      </c>
      <c r="C96" s="6"/>
    </row>
    <row r="97" spans="2:3" ht="21.75" customHeight="1">
      <c r="B97" s="3" t="s">
        <v>64</v>
      </c>
      <c r="C97" s="6"/>
    </row>
    <row r="98" spans="2:3" ht="21.75" customHeight="1">
      <c r="B98" s="3" t="s">
        <v>65</v>
      </c>
      <c r="C98" s="6"/>
    </row>
    <row r="99" spans="2:3" ht="21.75" customHeight="1">
      <c r="B99" s="3" t="s">
        <v>66</v>
      </c>
      <c r="C99" s="6"/>
    </row>
    <row r="100" spans="2:3" ht="21.75" customHeight="1">
      <c r="B100" s="3" t="s">
        <v>67</v>
      </c>
      <c r="C100" s="6"/>
    </row>
    <row r="101" spans="2:3" ht="21.75" customHeight="1">
      <c r="B101" s="3" t="s">
        <v>68</v>
      </c>
      <c r="C101" s="6"/>
    </row>
    <row r="102" spans="2:3" ht="54" customHeight="1">
      <c r="B102" s="3" t="s">
        <v>108</v>
      </c>
      <c r="C102" s="8"/>
    </row>
    <row r="103" spans="2:3" ht="54" customHeight="1">
      <c r="B103" s="3" t="s">
        <v>69</v>
      </c>
      <c r="C103" s="8"/>
    </row>
    <row r="104" spans="2:3" ht="19.5" customHeight="1">
      <c r="B104" s="18" t="s">
        <v>109</v>
      </c>
      <c r="C104" s="15"/>
    </row>
    <row r="105" spans="2:3" ht="21.75" customHeight="1">
      <c r="B105" s="3" t="s">
        <v>70</v>
      </c>
      <c r="C105" s="9">
        <f t="shared" ref="C105" si="0">SUM(C11,C13,C15,C17,C19,C21,C23,C25,C27,C29,C31,C33,C35,C37,C39)</f>
        <v>0</v>
      </c>
    </row>
    <row r="106" spans="2:3" ht="21.75" customHeight="1">
      <c r="B106" s="10" t="s">
        <v>71</v>
      </c>
      <c r="C106" s="11" t="str">
        <f>IFERROR(ROUND((C11+C13+C15+C17+C19+C21+C23+C25+C27+C29+C31+C33+C35+C37+C39)/((C11+C13+C15+C17+C19+C21+C23+C25+C27+C29+C31+C33+C35+C37+C39)+(C12+C14+C16+C18+C20+C22+C24+C26+C28+C30+C32+C34+C36+C38+C40))*100,1),"")</f>
        <v/>
      </c>
    </row>
    <row r="107" spans="2:3" ht="21.75" customHeight="1">
      <c r="B107" s="3" t="s">
        <v>72</v>
      </c>
      <c r="C107" s="9">
        <f>SUM(C42,C44,C46,C48,C50,C52,C54,C56,C58,C60,C62,C64,C66,C68)</f>
        <v>0</v>
      </c>
    </row>
    <row r="108" spans="2:3" ht="21.75" customHeight="1">
      <c r="B108" s="10" t="s">
        <v>73</v>
      </c>
      <c r="C108" s="11" t="str">
        <f>IFERROR(ROUND((C42+C44+C46+C48+C50+C52+C54+C56+C58+C60+C62+C64+C66+C68)/((C42+C44+C46+C48+C50+C52+C54+C56+C58+C60+C62+C64+C66+C68)+(C43+C45+C47+C49+C51+C53+C55+C57+C59+C61+C63+C65+C67+C69))*100,1),"")</f>
        <v/>
      </c>
    </row>
    <row r="109" spans="2:3" ht="21.75" customHeight="1">
      <c r="B109" s="10" t="s">
        <v>74</v>
      </c>
      <c r="C109" s="12" t="str">
        <f>IFERROR(ROUND(AVERAGE(C71,C72,C73,C74,C75,C76,C77,C78,C79,C80,C81,C82,C83),1),"")</f>
        <v/>
      </c>
    </row>
    <row r="110" spans="2:3" ht="21.75" customHeight="1">
      <c r="B110" s="10" t="s">
        <v>75</v>
      </c>
      <c r="C110" s="12" t="str">
        <f>IFERROR(ROUND(AVERAGE(C85,C86,C87,C88,C89,C90,C91,C92,C93,C94),1),"")</f>
        <v/>
      </c>
    </row>
    <row r="111" spans="2:3" ht="21.75" customHeight="1">
      <c r="B111" s="3" t="s">
        <v>76</v>
      </c>
      <c r="C111" s="13"/>
    </row>
    <row r="112" spans="2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70:C70"/>
    <mergeCell ref="B84:C84"/>
    <mergeCell ref="B95:C95"/>
    <mergeCell ref="B104:C104"/>
    <mergeCell ref="B1:C1"/>
    <mergeCell ref="B2:C2"/>
    <mergeCell ref="B6:C6"/>
    <mergeCell ref="B10:C10"/>
    <mergeCell ref="B41:C41"/>
  </mergeCells>
  <dataValidations count="3">
    <dataValidation type="decimal" allowBlank="1" sqref="C71:C83 C96:C101" xr:uid="{00000000-0002-0000-0000-000000000000}">
      <formula1>1</formula1>
      <formula2>10</formula2>
    </dataValidation>
    <dataValidation type="decimal" allowBlank="1" sqref="C85:C94" xr:uid="{00000000-0002-0000-0000-000001000000}">
      <formula1>0</formula1>
      <formula2>24</formula2>
    </dataValidation>
    <dataValidation type="list" allowBlank="1" sqref="C8" xr:uid="{00000000-0002-0000-0000-000002000000}">
      <formula1>"SAT,IELTS"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Học 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Lee</cp:lastModifiedBy>
  <dcterms:created xsi:type="dcterms:W3CDTF">2026-06-03T03:38:41Z</dcterms:created>
  <dcterms:modified xsi:type="dcterms:W3CDTF">2026-06-20T15:11:25Z</dcterms:modified>
</cp:coreProperties>
</file>